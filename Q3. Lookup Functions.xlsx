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92" documentId="11_C6A7C289657BD74270BD66EFBB06EF278C082729" xr6:coauthVersionLast="47" xr6:coauthVersionMax="47" xr10:uidLastSave="{940B2FB7-3514-46FE-AF90-7126A4B9E163}"/>
  <bookViews>
    <workbookView xWindow="-108" yWindow="-108" windowWidth="23256" windowHeight="12456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J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5" i="1"/>
  <c r="N11" i="1"/>
  <c r="N10" i="1"/>
  <c r="Q11" i="1"/>
  <c r="Q10" i="1"/>
</calcChain>
</file>

<file path=xl/sharedStrings.xml><?xml version="1.0" encoding="utf-8"?>
<sst xmlns="http://schemas.openxmlformats.org/spreadsheetml/2006/main" count="481" uniqueCount="105">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</sst>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0" borderId="2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6" fillId="5" borderId="1" xfId="0" applyFont="1" applyFill="1" applyBorder="1"/>
    <xf numFmtId="0" fontId="5" fillId="3" borderId="3" xfId="0" applyFont="1" applyFill="1" applyBorder="1"/>
    <xf numFmtId="0" fontId="1" fillId="2" borderId="4" xfId="0" applyFont="1" applyFill="1" applyBorder="1"/>
    <xf numFmtId="0" fontId="2" fillId="0" borderId="4" xfId="0" applyFont="1" applyBorder="1"/>
    <xf numFmtId="0" fontId="3" fillId="0" borderId="0" xfId="0" applyFont="1" applyBorder="1"/>
    <xf numFmtId="0" fontId="3" fillId="2" borderId="5" xfId="0" applyFont="1" applyFill="1" applyBorder="1" applyAlignment="1">
      <alignment horizontal="left"/>
    </xf>
    <xf numFmtId="0" fontId="1" fillId="0" borderId="6" xfId="0" applyFont="1" applyBorder="1"/>
    <xf numFmtId="0" fontId="1" fillId="2" borderId="3" xfId="0" applyFont="1" applyFill="1" applyBorder="1"/>
    <xf numFmtId="0" fontId="0" fillId="6" borderId="3" xfId="0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1000"/>
  <sheetViews>
    <sheetView tabSelected="1" topLeftCell="E3" zoomScale="87" workbookViewId="0">
      <selection activeCell="O21" sqref="O21"/>
    </sheetView>
  </sheetViews>
  <sheetFormatPr defaultColWidth="14.44140625" defaultRowHeight="15" customHeight="1"/>
  <cols>
    <col min="1" max="4" width="8.6640625" customWidth="1"/>
    <col min="5" max="5" width="13.88671875" bestFit="1" customWidth="1"/>
    <col min="6" max="6" width="9.88671875" customWidth="1"/>
    <col min="7" max="7" width="7.21875" bestFit="1" customWidth="1"/>
    <col min="8" max="8" width="9" bestFit="1" customWidth="1"/>
    <col min="9" max="9" width="22.33203125" bestFit="1" customWidth="1"/>
    <col min="10" max="10" width="9" bestFit="1" customWidth="1"/>
    <col min="11" max="11" width="10.6640625" customWidth="1"/>
    <col min="12" max="12" width="23.33203125" bestFit="1" customWidth="1"/>
    <col min="13" max="13" width="38" customWidth="1"/>
    <col min="14" max="14" width="13" customWidth="1"/>
    <col min="15" max="15" width="17.33203125" customWidth="1"/>
    <col min="16" max="16" width="8.6640625" customWidth="1"/>
    <col min="17" max="17" width="33.44140625" bestFit="1" customWidth="1"/>
    <col min="18" max="26" width="8.6640625" customWidth="1"/>
  </cols>
  <sheetData>
    <row r="1" spans="3:17" ht="14.25" customHeight="1"/>
    <row r="2" spans="3:17" ht="14.25" customHeight="1"/>
    <row r="3" spans="3:17" ht="14.25" customHeight="1"/>
    <row r="4" spans="3:17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4" t="s">
        <v>8</v>
      </c>
      <c r="L4" s="19" t="s">
        <v>104</v>
      </c>
    </row>
    <row r="5" spans="3:17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15">
        <v>4800</v>
      </c>
      <c r="L5" s="20" t="str">
        <f>D5&amp;" "&amp;E5</f>
        <v>Ram Ambradkar</v>
      </c>
    </row>
    <row r="6" spans="3:17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15">
        <v>35000</v>
      </c>
      <c r="L6" s="20" t="str">
        <f t="shared" ref="L6:L42" si="0">D6&amp;" "&amp;E6</f>
        <v>Sachin Bangera</v>
      </c>
    </row>
    <row r="7" spans="3:17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15">
        <v>67000</v>
      </c>
      <c r="L7" s="20" t="str">
        <f t="shared" si="0"/>
        <v>Rajesh Bohra</v>
      </c>
      <c r="M7" s="16" t="s">
        <v>21</v>
      </c>
    </row>
    <row r="8" spans="3:17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15">
        <v>87000</v>
      </c>
      <c r="L8" s="20" t="str">
        <f t="shared" si="0"/>
        <v>Rajeesh C</v>
      </c>
    </row>
    <row r="9" spans="3:17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15">
        <v>22000</v>
      </c>
      <c r="L9" s="20" t="str">
        <f t="shared" si="0"/>
        <v>Melwyn Crasto</v>
      </c>
      <c r="M9" s="17" t="s">
        <v>30</v>
      </c>
      <c r="N9" s="9"/>
      <c r="O9" s="7" t="s">
        <v>31</v>
      </c>
    </row>
    <row r="10" spans="3:17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15">
        <v>91000</v>
      </c>
      <c r="L10" s="20" t="str">
        <f t="shared" si="0"/>
        <v>Rajesh Dedhia</v>
      </c>
      <c r="M10" s="18" t="s">
        <v>34</v>
      </c>
      <c r="N10" s="10">
        <f>MAX(K5:K42)</f>
        <v>92000</v>
      </c>
      <c r="O10" s="11" t="str">
        <f>VLOOKUP(MAX(K5:K42),K5:L42,2,0)</f>
        <v>Dinesh Dhanuka</v>
      </c>
      <c r="Q10" s="13" t="str">
        <f ca="1">_xlfn.FORMULATEXT(O10)</f>
        <v>=VLOOKUP(MAX(K5:K42),K5:L42,2,0)</v>
      </c>
    </row>
    <row r="11" spans="3:17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15">
        <v>77000</v>
      </c>
      <c r="L11" s="20" t="str">
        <f t="shared" si="0"/>
        <v>Dattatray Desai</v>
      </c>
      <c r="M11" s="18" t="s">
        <v>39</v>
      </c>
      <c r="N11" s="10">
        <f>MIN(K5:K42)</f>
        <v>4800</v>
      </c>
      <c r="O11" s="12" t="str">
        <f>VLOOKUP(MIN(K5:K42),K5:L42,2,0)</f>
        <v>Ram Ambradkar</v>
      </c>
      <c r="Q11" s="13" t="str">
        <f ca="1">_xlfn.FORMULATEXT(O11)</f>
        <v>=VLOOKUP(MIN(K5:K42),K5:L42,2,0)</v>
      </c>
    </row>
    <row r="12" spans="3:17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15">
        <v>45000</v>
      </c>
      <c r="L12" s="20" t="str">
        <f t="shared" si="0"/>
        <v>Vishnu Desai</v>
      </c>
    </row>
    <row r="13" spans="3:17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15">
        <v>92000</v>
      </c>
      <c r="L13" s="20" t="str">
        <f t="shared" si="0"/>
        <v>Dinesh Dhanuka</v>
      </c>
    </row>
    <row r="14" spans="3:17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15">
        <v>50000</v>
      </c>
      <c r="L14" s="20" t="str">
        <f t="shared" si="0"/>
        <v>Heena Dongre</v>
      </c>
    </row>
    <row r="15" spans="3:17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15">
        <v>37000</v>
      </c>
      <c r="L15" s="20" t="str">
        <f t="shared" si="0"/>
        <v>Dhiren Haria</v>
      </c>
    </row>
    <row r="16" spans="3:17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15">
        <v>43000</v>
      </c>
      <c r="L16" s="20" t="str">
        <f t="shared" si="0"/>
        <v>Gururaj Joshi</v>
      </c>
    </row>
    <row r="17" spans="3:12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15">
        <v>90000</v>
      </c>
      <c r="L17" s="20" t="str">
        <f t="shared" si="0"/>
        <v>Ruffina Joshi</v>
      </c>
    </row>
    <row r="18" spans="3:12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15">
        <v>34000</v>
      </c>
      <c r="L18" s="20" t="str">
        <f t="shared" si="0"/>
        <v>Jagjit Kahlon</v>
      </c>
    </row>
    <row r="19" spans="3:12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15">
        <v>82000</v>
      </c>
      <c r="L19" s="20" t="str">
        <f t="shared" si="0"/>
        <v>Piyush Kamdar</v>
      </c>
    </row>
    <row r="20" spans="3:12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15">
        <v>67000</v>
      </c>
      <c r="L20" s="20" t="str">
        <f t="shared" si="0"/>
        <v>D Kulkarni</v>
      </c>
    </row>
    <row r="21" spans="3:12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15">
        <v>85000</v>
      </c>
      <c r="L21" s="20" t="str">
        <f t="shared" si="0"/>
        <v>Raju Manek</v>
      </c>
    </row>
    <row r="22" spans="3:12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15">
        <v>62000</v>
      </c>
      <c r="L22" s="20" t="str">
        <f t="shared" si="0"/>
        <v>Yogesh Mansharamani</v>
      </c>
    </row>
    <row r="23" spans="3:12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15">
        <v>15000</v>
      </c>
      <c r="L23" s="20" t="str">
        <f t="shared" si="0"/>
        <v>Satish Pasari</v>
      </c>
    </row>
    <row r="24" spans="3:12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15">
        <v>81000</v>
      </c>
      <c r="L24" s="20" t="str">
        <f t="shared" si="0"/>
        <v>Nitin Patki</v>
      </c>
    </row>
    <row r="25" spans="3:12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15">
        <v>19000</v>
      </c>
      <c r="L25" s="20" t="str">
        <f t="shared" si="0"/>
        <v>Prem Pherwani</v>
      </c>
    </row>
    <row r="26" spans="3:12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15">
        <v>75000</v>
      </c>
      <c r="L26" s="20" t="str">
        <f t="shared" si="0"/>
        <v>Sudesh Pillai</v>
      </c>
    </row>
    <row r="27" spans="3:12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15">
        <v>49000</v>
      </c>
      <c r="L27" s="20" t="str">
        <f t="shared" si="0"/>
        <v>Boneca Rego</v>
      </c>
    </row>
    <row r="28" spans="3:12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15">
        <v>50000</v>
      </c>
      <c r="L28" s="20" t="str">
        <f t="shared" si="0"/>
        <v>Sharadchandra Riswadkar</v>
      </c>
    </row>
    <row r="29" spans="3:12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15">
        <v>83000</v>
      </c>
      <c r="L29" s="20" t="str">
        <f t="shared" si="0"/>
        <v>Simon Rodrigues</v>
      </c>
    </row>
    <row r="30" spans="3:12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15">
        <v>53000</v>
      </c>
      <c r="L30" s="20" t="str">
        <f t="shared" si="0"/>
        <v>Ashok Samtaney</v>
      </c>
    </row>
    <row r="31" spans="3:12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15">
        <v>65000</v>
      </c>
      <c r="L31" s="20" t="str">
        <f t="shared" si="0"/>
        <v>Praful Savla</v>
      </c>
    </row>
    <row r="32" spans="3:12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15">
        <v>85000</v>
      </c>
      <c r="L32" s="20" t="str">
        <f t="shared" si="0"/>
        <v>Stan Serrao</v>
      </c>
    </row>
    <row r="33" spans="3:12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15">
        <v>20000</v>
      </c>
      <c r="L33" s="20" t="str">
        <f t="shared" si="0"/>
        <v>Piyush Shah</v>
      </c>
    </row>
    <row r="34" spans="3:12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15">
        <v>47000</v>
      </c>
      <c r="L34" s="20" t="str">
        <f t="shared" si="0"/>
        <v>Dhiren Sheth</v>
      </c>
    </row>
    <row r="35" spans="3:12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15">
        <v>87000</v>
      </c>
      <c r="L35" s="20" t="str">
        <f t="shared" si="0"/>
        <v>Shankar Shetty</v>
      </c>
    </row>
    <row r="36" spans="3:12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15">
        <v>57000</v>
      </c>
      <c r="L36" s="20" t="str">
        <f t="shared" si="0"/>
        <v>Kawdoor Shetty</v>
      </c>
    </row>
    <row r="37" spans="3:12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15">
        <v>27000</v>
      </c>
      <c r="L37" s="20" t="str">
        <f t="shared" si="0"/>
        <v>Venitha Shetty</v>
      </c>
    </row>
    <row r="38" spans="3:12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15">
        <v>81000</v>
      </c>
      <c r="L38" s="20" t="str">
        <f t="shared" si="0"/>
        <v>Tulsidas Shetty</v>
      </c>
    </row>
    <row r="39" spans="3:12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15">
        <v>52000</v>
      </c>
      <c r="L39" s="20" t="str">
        <f t="shared" si="0"/>
        <v>Rajeev Singh</v>
      </c>
    </row>
    <row r="40" spans="3:12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15">
        <v>58000</v>
      </c>
      <c r="L40" s="20" t="str">
        <f t="shared" si="0"/>
        <v>Bobby Tanna</v>
      </c>
    </row>
    <row r="41" spans="3:12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15">
        <v>47000</v>
      </c>
      <c r="L41" s="20" t="str">
        <f t="shared" si="0"/>
        <v>Jitendra Thacker</v>
      </c>
    </row>
    <row r="42" spans="3:12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15">
        <v>26000</v>
      </c>
      <c r="L42" s="20" t="str">
        <f t="shared" si="0"/>
        <v>Yashraj Vaidya</v>
      </c>
    </row>
    <row r="43" spans="3:12" ht="14.25" customHeight="1"/>
    <row r="44" spans="3:12" ht="14.25" customHeight="1"/>
    <row r="45" spans="3:12" ht="14.25" customHeight="1"/>
    <row r="46" spans="3:12" ht="14.25" customHeight="1"/>
    <row r="47" spans="3:12" ht="14.25" customHeight="1"/>
    <row r="48" spans="3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opLeftCell="D1" workbookViewId="0">
      <selection activeCell="L11" sqref="L11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8.77734375" bestFit="1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8" t="s">
        <v>101</v>
      </c>
    </row>
    <row r="3" spans="3:11" ht="14.25" customHeight="1">
      <c r="D3" s="8" t="s">
        <v>102</v>
      </c>
    </row>
    <row r="4" spans="3:11" ht="14.25" customHeight="1">
      <c r="D4" s="8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23" t="str">
        <f>VLOOKUP($C$7:$C$44,Source!$C$5:$F$40,MATCH('Master Emp sheet'!I$6,Source!$C$5:$F$5,0))</f>
        <v>North</v>
      </c>
      <c r="J7" s="21" t="str">
        <f>VLOOKUP($C$7:$C$44,Source!$C$5:$F$40,MATCH('Master Emp sheet'!J$6,Source!$C$5:$F$5,0))</f>
        <v>FLM</v>
      </c>
      <c r="K7" s="22">
        <f>VLOOKUP($C$7:$C$44,Source!$C$5:$F$40,MATCH('Master Emp sheet'!K$6,Source!$C$5:$F$5,0))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23" t="str">
        <f>VLOOKUP($C$7:$C$44,Source!$C$5:$F$40,MATCH('Master Emp sheet'!I$6,Source!$C$5:$F$5,0))</f>
        <v>North</v>
      </c>
      <c r="J8" s="21" t="str">
        <f>VLOOKUP($C$7:$C$44,Source!$C$5:$F$40,MATCH('Master Emp sheet'!J$6,Source!$C$5:$F$5,0))</f>
        <v>Digital Marketing</v>
      </c>
      <c r="K8" s="22">
        <f>VLOOKUP($C$7:$C$44,Source!$C$5:$F$40,MATCH('Master Emp sheet'!K$6,Source!$C$5:$F$5,0))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23" t="str">
        <f>VLOOKUP($C$7:$C$44,Source!$C$5:$F$40,MATCH('Master Emp sheet'!I$6,Source!$C$5:$F$5,0))</f>
        <v>North</v>
      </c>
      <c r="J9" s="21" t="str">
        <f>VLOOKUP($C$7:$C$44,Source!$C$5:$F$40,MATCH('Master Emp sheet'!J$6,Source!$C$5:$F$5,0))</f>
        <v>Digital Marketing</v>
      </c>
      <c r="K9" s="22">
        <f>VLOOKUP($C$7:$C$44,Source!$C$5:$F$40,MATCH('Master Emp sheet'!K$6,Source!$C$5:$F$5,0))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23" t="str">
        <f>VLOOKUP($C$7:$C$44,Source!$C$5:$F$40,MATCH('Master Emp sheet'!I$6,Source!$C$5:$F$5,0))</f>
        <v>South</v>
      </c>
      <c r="J10" s="21" t="str">
        <f>VLOOKUP($C$7:$C$44,Source!$C$5:$F$40,MATCH('Master Emp sheet'!J$6,Source!$C$5:$F$5,0))</f>
        <v>Inside Sales</v>
      </c>
      <c r="K10" s="22">
        <f>VLOOKUP($C$7:$C$44,Source!$C$5:$F$40,MATCH('Master Emp sheet'!K$6,Source!$C$5:$F$5,0))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23" t="str">
        <f>VLOOKUP($C$7:$C$44,Source!$C$5:$F$40,MATCH('Master Emp sheet'!I$6,Source!$C$5:$F$5,0))</f>
        <v>North</v>
      </c>
      <c r="J11" s="21" t="str">
        <f>VLOOKUP($C$7:$C$44,Source!$C$5:$F$40,MATCH('Master Emp sheet'!J$6,Source!$C$5:$F$5,0))</f>
        <v>Marketing</v>
      </c>
      <c r="K11" s="22">
        <f>VLOOKUP($C$7:$C$44,Source!$C$5:$F$40,MATCH('Master Emp sheet'!K$6,Source!$C$5:$F$5,0))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23" t="str">
        <f>VLOOKUP($C$7:$C$44,Source!$C$5:$F$40,MATCH('Master Emp sheet'!I$6,Source!$C$5:$F$5,0))</f>
        <v>North</v>
      </c>
      <c r="J12" s="21" t="str">
        <f>VLOOKUP($C$7:$C$44,Source!$C$5:$F$40,MATCH('Master Emp sheet'!J$6,Source!$C$5:$F$5,0))</f>
        <v>Director</v>
      </c>
      <c r="K12" s="22">
        <f>VLOOKUP($C$7:$C$44,Source!$C$5:$F$40,MATCH('Master Emp sheet'!K$6,Source!$C$5:$F$5,0))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23" t="str">
        <f>VLOOKUP($C$7:$C$44,Source!$C$5:$F$40,MATCH('Master Emp sheet'!I$6,Source!$C$5:$F$5,0))</f>
        <v>Mid West</v>
      </c>
      <c r="J13" s="21" t="str">
        <f>VLOOKUP($C$7:$C$44,Source!$C$5:$F$40,MATCH('Master Emp sheet'!J$6,Source!$C$5:$F$5,0))</f>
        <v>Learning &amp; Development</v>
      </c>
      <c r="K13" s="22">
        <f>VLOOKUP($C$7:$C$44,Source!$C$5:$F$40,MATCH('Master Emp sheet'!K$6,Source!$C$5:$F$5,0))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23" t="str">
        <f>VLOOKUP($C$7:$C$44,Source!$C$5:$F$40,MATCH('Master Emp sheet'!I$6,Source!$C$5:$F$5,0))</f>
        <v>Mid West</v>
      </c>
      <c r="J14" s="21" t="str">
        <f>VLOOKUP($C$7:$C$44,Source!$C$5:$F$40,MATCH('Master Emp sheet'!J$6,Source!$C$5:$F$5,0))</f>
        <v>Digital Marketing</v>
      </c>
      <c r="K14" s="22">
        <f>VLOOKUP($C$7:$C$44,Source!$C$5:$F$40,MATCH('Master Emp sheet'!K$6,Source!$C$5:$F$5,0))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23" t="str">
        <f>VLOOKUP($C$7:$C$44,Source!$C$5:$F$40,MATCH('Master Emp sheet'!I$6,Source!$C$5:$F$5,0))</f>
        <v>East</v>
      </c>
      <c r="J15" s="21" t="str">
        <f>VLOOKUP($C$7:$C$44,Source!$C$5:$F$40,MATCH('Master Emp sheet'!J$6,Source!$C$5:$F$5,0))</f>
        <v>Digital Marketing</v>
      </c>
      <c r="K15" s="22">
        <f>VLOOKUP($C$7:$C$44,Source!$C$5:$F$40,MATCH('Master Emp sheet'!K$6,Source!$C$5:$F$5,0))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23" t="str">
        <f>VLOOKUP($C$7:$C$44,Source!$C$5:$F$40,MATCH('Master Emp sheet'!I$6,Source!$C$5:$F$5,0))</f>
        <v>North</v>
      </c>
      <c r="J16" s="21" t="str">
        <f>VLOOKUP($C$7:$C$44,Source!$C$5:$F$40,MATCH('Master Emp sheet'!J$6,Source!$C$5:$F$5,0))</f>
        <v>Inside Sales</v>
      </c>
      <c r="K16" s="22">
        <f>VLOOKUP($C$7:$C$44,Source!$C$5:$F$40,MATCH('Master Emp sheet'!K$6,Source!$C$5:$F$5,0))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23" t="str">
        <f>VLOOKUP($C$7:$C$44,Source!$C$5:$F$40,MATCH('Master Emp sheet'!I$6,Source!$C$5:$F$5,0))</f>
        <v>South</v>
      </c>
      <c r="J17" s="21" t="str">
        <f>VLOOKUP($C$7:$C$44,Source!$C$5:$F$40,MATCH('Master Emp sheet'!J$6,Source!$C$5:$F$5,0))</f>
        <v>Learning &amp; Development</v>
      </c>
      <c r="K17" s="22">
        <f>VLOOKUP($C$7:$C$44,Source!$C$5:$F$40,MATCH('Master Emp sheet'!K$6,Source!$C$5:$F$5,0))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23" t="str">
        <f>VLOOKUP($C$7:$C$44,Source!$C$5:$F$40,MATCH('Master Emp sheet'!I$6,Source!$C$5:$F$5,0))</f>
        <v>East</v>
      </c>
      <c r="J18" s="21" t="str">
        <f>VLOOKUP($C$7:$C$44,Source!$C$5:$F$40,MATCH('Master Emp sheet'!J$6,Source!$C$5:$F$5,0))</f>
        <v>Learning &amp; Development</v>
      </c>
      <c r="K18" s="22">
        <f>VLOOKUP($C$7:$C$44,Source!$C$5:$F$40,MATCH('Master Emp sheet'!K$6,Source!$C$5:$F$5,0))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23" t="str">
        <f>VLOOKUP($C$7:$C$44,Source!$C$5:$F$40,MATCH('Master Emp sheet'!I$6,Source!$C$5:$F$5,0))</f>
        <v>East</v>
      </c>
      <c r="J19" s="21" t="str">
        <f>VLOOKUP($C$7:$C$44,Source!$C$5:$F$40,MATCH('Master Emp sheet'!J$6,Source!$C$5:$F$5,0))</f>
        <v>CEO</v>
      </c>
      <c r="K19" s="22">
        <f>VLOOKUP($C$7:$C$44,Source!$C$5:$F$40,MATCH('Master Emp sheet'!K$6,Source!$C$5:$F$5,0))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23" t="str">
        <f>VLOOKUP($C$7:$C$44,Source!$C$5:$F$40,MATCH('Master Emp sheet'!I$6,Source!$C$5:$F$5,0))</f>
        <v>East</v>
      </c>
      <c r="J20" s="21" t="str">
        <f>VLOOKUP($C$7:$C$44,Source!$C$5:$F$40,MATCH('Master Emp sheet'!J$6,Source!$C$5:$F$5,0))</f>
        <v>Inside Sales</v>
      </c>
      <c r="K20" s="22">
        <f>VLOOKUP($C$7:$C$44,Source!$C$5:$F$40,MATCH('Master Emp sheet'!K$6,Source!$C$5:$F$5,0))</f>
        <v>75000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23" t="str">
        <f>VLOOKUP($C$7:$C$44,Source!$C$5:$F$40,MATCH('Master Emp sheet'!I$6,Source!$C$5:$F$5,0))</f>
        <v>South</v>
      </c>
      <c r="J21" s="21" t="str">
        <f>VLOOKUP($C$7:$C$44,Source!$C$5:$F$40,MATCH('Master Emp sheet'!J$6,Source!$C$5:$F$5,0))</f>
        <v>Digital Marketing</v>
      </c>
      <c r="K21" s="22">
        <f>VLOOKUP($C$7:$C$44,Source!$C$5:$F$40,MATCH('Master Emp sheet'!K$6,Source!$C$5:$F$5,0))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23" t="str">
        <f>VLOOKUP($C$7:$C$44,Source!$C$5:$F$40,MATCH('Master Emp sheet'!I$6,Source!$C$5:$F$5,0))</f>
        <v>South</v>
      </c>
      <c r="J22" s="21" t="str">
        <f>VLOOKUP($C$7:$C$44,Source!$C$5:$F$40,MATCH('Master Emp sheet'!J$6,Source!$C$5:$F$5,0))</f>
        <v>Inside Sales</v>
      </c>
      <c r="K22" s="22">
        <f>VLOOKUP($C$7:$C$44,Source!$C$5:$F$40,MATCH('Master Emp sheet'!K$6,Source!$C$5:$F$5,0))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23" t="str">
        <f>VLOOKUP($C$7:$C$44,Source!$C$5:$F$40,MATCH('Master Emp sheet'!I$6,Source!$C$5:$F$5,0))</f>
        <v>South</v>
      </c>
      <c r="J23" s="21" t="str">
        <f>VLOOKUP($C$7:$C$44,Source!$C$5:$F$40,MATCH('Master Emp sheet'!J$6,Source!$C$5:$F$5,0))</f>
        <v>CCD</v>
      </c>
      <c r="K23" s="22">
        <f>VLOOKUP($C$7:$C$44,Source!$C$5:$F$40,MATCH('Master Emp sheet'!K$6,Source!$C$5:$F$5,0))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23" t="str">
        <f>VLOOKUP($C$7:$C$44,Source!$C$5:$F$40,MATCH('Master Emp sheet'!I$6,Source!$C$5:$F$5,0))</f>
        <v>South</v>
      </c>
      <c r="J24" s="21" t="str">
        <f>VLOOKUP($C$7:$C$44,Source!$C$5:$F$40,MATCH('Master Emp sheet'!J$6,Source!$C$5:$F$5,0))</f>
        <v>FLM</v>
      </c>
      <c r="K24" s="22">
        <f>VLOOKUP($C$7:$C$44,Source!$C$5:$F$40,MATCH('Master Emp sheet'!K$6,Source!$C$5:$F$5,0))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23" t="str">
        <f>VLOOKUP($C$7:$C$44,Source!$C$5:$F$40,MATCH('Master Emp sheet'!I$6,Source!$C$5:$F$5,0))</f>
        <v>Mid West</v>
      </c>
      <c r="J25" s="21" t="str">
        <f>VLOOKUP($C$7:$C$44,Source!$C$5:$F$40,MATCH('Master Emp sheet'!J$6,Source!$C$5:$F$5,0))</f>
        <v>Inside Sales</v>
      </c>
      <c r="K25" s="22">
        <f>VLOOKUP($C$7:$C$44,Source!$C$5:$F$40,MATCH('Master Emp sheet'!K$6,Source!$C$5:$F$5,0))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23" t="str">
        <f>VLOOKUP($C$7:$C$44,Source!$C$5:$F$40,MATCH('Master Emp sheet'!I$6,Source!$C$5:$F$5,0))</f>
        <v>South</v>
      </c>
      <c r="J26" s="21" t="str">
        <f>VLOOKUP($C$7:$C$44,Source!$C$5:$F$40,MATCH('Master Emp sheet'!J$6,Source!$C$5:$F$5,0))</f>
        <v>Operations</v>
      </c>
      <c r="K26" s="22">
        <f>VLOOKUP($C$7:$C$44,Source!$C$5:$F$40,MATCH('Master Emp sheet'!K$6,Source!$C$5:$F$5,0))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23" t="str">
        <f>VLOOKUP($C$7:$C$44,Source!$C$5:$F$40,MATCH('Master Emp sheet'!I$6,Source!$C$5:$F$5,0))</f>
        <v>South</v>
      </c>
      <c r="J27" s="21" t="str">
        <f>VLOOKUP($C$7:$C$44,Source!$C$5:$F$40,MATCH('Master Emp sheet'!J$6,Source!$C$5:$F$5,0))</f>
        <v>Finance</v>
      </c>
      <c r="K27" s="22">
        <f>VLOOKUP($C$7:$C$44,Source!$C$5:$F$40,MATCH('Master Emp sheet'!K$6,Source!$C$5:$F$5,0))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23" t="str">
        <f>VLOOKUP($C$7:$C$44,Source!$C$5:$F$40,MATCH('Master Emp sheet'!I$6,Source!$C$5:$F$5,0))</f>
        <v>East</v>
      </c>
      <c r="J28" s="21" t="str">
        <f>VLOOKUP($C$7:$C$44,Source!$C$5:$F$40,MATCH('Master Emp sheet'!J$6,Source!$C$5:$F$5,0))</f>
        <v>Inside Sales</v>
      </c>
      <c r="K28" s="22">
        <f>VLOOKUP($C$7:$C$44,Source!$C$5:$F$40,MATCH('Master Emp sheet'!K$6,Source!$C$5:$F$5,0))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23" t="str">
        <f>VLOOKUP($C$7:$C$44,Source!$C$5:$F$40,MATCH('Master Emp sheet'!I$6,Source!$C$5:$F$5,0))</f>
        <v>East</v>
      </c>
      <c r="J29" s="21" t="str">
        <f>VLOOKUP($C$7:$C$44,Source!$C$5:$F$40,MATCH('Master Emp sheet'!J$6,Source!$C$5:$F$5,0))</f>
        <v>Finance</v>
      </c>
      <c r="K29" s="22">
        <f>VLOOKUP($C$7:$C$44,Source!$C$5:$F$40,MATCH('Master Emp sheet'!K$6,Source!$C$5:$F$5,0))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23" t="str">
        <f>VLOOKUP($C$7:$C$44,Source!$C$5:$F$40,MATCH('Master Emp sheet'!I$6,Source!$C$5:$F$5,0))</f>
        <v>South</v>
      </c>
      <c r="J30" s="21" t="str">
        <f>VLOOKUP($C$7:$C$44,Source!$C$5:$F$40,MATCH('Master Emp sheet'!J$6,Source!$C$5:$F$5,0))</f>
        <v>Inside Sales</v>
      </c>
      <c r="K30" s="22">
        <f>VLOOKUP($C$7:$C$44,Source!$C$5:$F$40,MATCH('Master Emp sheet'!K$6,Source!$C$5:$F$5,0))</f>
        <v>67000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23" t="str">
        <f>VLOOKUP($C$7:$C$44,Source!$C$5:$F$40,MATCH('Master Emp sheet'!I$6,Source!$C$5:$F$5,0))</f>
        <v>Mid West</v>
      </c>
      <c r="J31" s="21" t="str">
        <f>VLOOKUP($C$7:$C$44,Source!$C$5:$F$40,MATCH('Master Emp sheet'!J$6,Source!$C$5:$F$5,0))</f>
        <v>Finance</v>
      </c>
      <c r="K31" s="22">
        <f>VLOOKUP($C$7:$C$44,Source!$C$5:$F$40,MATCH('Master Emp sheet'!K$6,Source!$C$5:$F$5,0))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23" t="str">
        <f>VLOOKUP($C$7:$C$44,Source!$C$5:$F$40,MATCH('Master Emp sheet'!I$6,Source!$C$5:$F$5,0))</f>
        <v>South</v>
      </c>
      <c r="J32" s="21" t="str">
        <f>VLOOKUP($C$7:$C$44,Source!$C$5:$F$40,MATCH('Master Emp sheet'!J$6,Source!$C$5:$F$5,0))</f>
        <v>Sales</v>
      </c>
      <c r="K32" s="22">
        <f>VLOOKUP($C$7:$C$44,Source!$C$5:$F$40,MATCH('Master Emp sheet'!K$6,Source!$C$5:$F$5,0))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23" t="str">
        <f>VLOOKUP($C$7:$C$44,Source!$C$5:$F$40,MATCH('Master Emp sheet'!I$6,Source!$C$5:$F$5,0))</f>
        <v>South</v>
      </c>
      <c r="J33" s="21" t="str">
        <f>VLOOKUP($C$7:$C$44,Source!$C$5:$F$40,MATCH('Master Emp sheet'!J$6,Source!$C$5:$F$5,0))</f>
        <v>Operations</v>
      </c>
      <c r="K33" s="22">
        <f>VLOOKUP($C$7:$C$44,Source!$C$5:$F$40,MATCH('Master Emp sheet'!K$6,Source!$C$5:$F$5,0))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23" t="str">
        <f>VLOOKUP($C$7:$C$44,Source!$C$5:$F$40,MATCH('Master Emp sheet'!I$6,Source!$C$5:$F$5,0))</f>
        <v>North</v>
      </c>
      <c r="J34" s="21" t="str">
        <f>VLOOKUP($C$7:$C$44,Source!$C$5:$F$40,MATCH('Master Emp sheet'!J$6,Source!$C$5:$F$5,0))</f>
        <v>Finance</v>
      </c>
      <c r="K34" s="22">
        <f>VLOOKUP($C$7:$C$44,Source!$C$5:$F$40,MATCH('Master Emp sheet'!K$6,Source!$C$5:$F$5,0))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23" t="str">
        <f>VLOOKUP($C$7:$C$44,Source!$C$5:$F$40,MATCH('Master Emp sheet'!I$6,Source!$C$5:$F$5,0))</f>
        <v>East</v>
      </c>
      <c r="J35" s="21" t="str">
        <f>VLOOKUP($C$7:$C$44,Source!$C$5:$F$40,MATCH('Master Emp sheet'!J$6,Source!$C$5:$F$5,0))</f>
        <v>Inside Sales</v>
      </c>
      <c r="K35" s="22">
        <f>VLOOKUP($C$7:$C$44,Source!$C$5:$F$40,MATCH('Master Emp sheet'!K$6,Source!$C$5:$F$5,0))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23" t="str">
        <f>VLOOKUP($C$7:$C$44,Source!$C$5:$F$40,MATCH('Master Emp sheet'!I$6,Source!$C$5:$F$5,0))</f>
        <v>East</v>
      </c>
      <c r="J36" s="21" t="str">
        <f>VLOOKUP($C$7:$C$44,Source!$C$5:$F$40,MATCH('Master Emp sheet'!J$6,Source!$C$5:$F$5,0))</f>
        <v>CCD</v>
      </c>
      <c r="K36" s="22">
        <f>VLOOKUP($C$7:$C$44,Source!$C$5:$F$40,MATCH('Master Emp sheet'!K$6,Source!$C$5:$F$5,0))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23" t="str">
        <f>VLOOKUP($C$7:$C$44,Source!$C$5:$F$40,MATCH('Master Emp sheet'!I$6,Source!$C$5:$F$5,0))</f>
        <v>South</v>
      </c>
      <c r="J37" s="21" t="str">
        <f>VLOOKUP($C$7:$C$44,Source!$C$5:$F$40,MATCH('Master Emp sheet'!J$6,Source!$C$5:$F$5,0))</f>
        <v>Director</v>
      </c>
      <c r="K37" s="22">
        <f>VLOOKUP($C$7:$C$44,Source!$C$5:$F$40,MATCH('Master Emp sheet'!K$6,Source!$C$5:$F$5,0))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23" t="str">
        <f>VLOOKUP($C$7:$C$44,Source!$C$5:$F$40,MATCH('Master Emp sheet'!I$6,Source!$C$5:$F$5,0))</f>
        <v>South</v>
      </c>
      <c r="J38" s="21" t="str">
        <f>VLOOKUP($C$7:$C$44,Source!$C$5:$F$40,MATCH('Master Emp sheet'!J$6,Source!$C$5:$F$5,0))</f>
        <v>CCD</v>
      </c>
      <c r="K38" s="22">
        <f>VLOOKUP($C$7:$C$44,Source!$C$5:$F$40,MATCH('Master Emp sheet'!K$6,Source!$C$5:$F$5,0))</f>
        <v>85000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23" t="str">
        <f>VLOOKUP($C$7:$C$44,Source!$C$5:$F$40,MATCH('Master Emp sheet'!I$6,Source!$C$5:$F$5,0))</f>
        <v>East</v>
      </c>
      <c r="J39" s="21" t="str">
        <f>VLOOKUP($C$7:$C$44,Source!$C$5:$F$40,MATCH('Master Emp sheet'!J$6,Source!$C$5:$F$5,0))</f>
        <v>Marketing</v>
      </c>
      <c r="K39" s="22">
        <f>VLOOKUP($C$7:$C$44,Source!$C$5:$F$40,MATCH('Master Emp sheet'!K$6,Source!$C$5:$F$5,0))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23" t="str">
        <f>VLOOKUP($C$7:$C$44,Source!$C$5:$F$40,MATCH('Master Emp sheet'!I$6,Source!$C$5:$F$5,0))</f>
        <v>North</v>
      </c>
      <c r="J40" s="21" t="str">
        <f>VLOOKUP($C$7:$C$44,Source!$C$5:$F$40,MATCH('Master Emp sheet'!J$6,Source!$C$5:$F$5,0))</f>
        <v>Digital Marketing</v>
      </c>
      <c r="K40" s="22">
        <f>VLOOKUP($C$7:$C$44,Source!$C$5:$F$40,MATCH('Master Emp sheet'!K$6,Source!$C$5:$F$5,0))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23" t="str">
        <f>VLOOKUP($C$7:$C$44,Source!$C$5:$F$40,MATCH('Master Emp sheet'!I$6,Source!$C$5:$F$5,0))</f>
        <v>North</v>
      </c>
      <c r="J41" s="21" t="str">
        <f>VLOOKUP($C$7:$C$44,Source!$C$5:$F$40,MATCH('Master Emp sheet'!J$6,Source!$C$5:$F$5,0))</f>
        <v>Sales</v>
      </c>
      <c r="K41" s="22">
        <f>VLOOKUP($C$7:$C$44,Source!$C$5:$F$40,MATCH('Master Emp sheet'!K$6,Source!$C$5:$F$5,0))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23" t="str">
        <f>VLOOKUP($C$7:$C$44,Source!$C$5:$F$40,MATCH('Master Emp sheet'!I$6,Source!$C$5:$F$5,0))</f>
        <v>South</v>
      </c>
      <c r="J42" s="21" t="str">
        <f>VLOOKUP($C$7:$C$44,Source!$C$5:$F$40,MATCH('Master Emp sheet'!J$6,Source!$C$5:$F$5,0))</f>
        <v>Marketing</v>
      </c>
      <c r="K42" s="22">
        <f>VLOOKUP($C$7:$C$44,Source!$C$5:$F$40,MATCH('Master Emp sheet'!K$6,Source!$C$5:$F$5,0))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23" t="str">
        <f>VLOOKUP($C$7:$C$44,Source!$C$5:$F$40,MATCH('Master Emp sheet'!I$6,Source!$C$5:$F$5,0))</f>
        <v>Mid West</v>
      </c>
      <c r="J43" s="21" t="str">
        <f>VLOOKUP($C$7:$C$44,Source!$C$5:$F$40,MATCH('Master Emp sheet'!J$6,Source!$C$5:$F$5,0))</f>
        <v>Marketing</v>
      </c>
      <c r="K43" s="22">
        <f>VLOOKUP($C$7:$C$44,Source!$C$5:$F$40,MATCH('Master Emp sheet'!K$6,Source!$C$5:$F$5,0))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23" t="str">
        <f>VLOOKUP($C$7:$C$44,Source!$C$5:$F$40,MATCH('Master Emp sheet'!I$6,Source!$C$5:$F$5,0))</f>
        <v>North</v>
      </c>
      <c r="J44" s="21" t="str">
        <f>VLOOKUP($C$7:$C$44,Source!$C$5:$F$40,MATCH('Master Emp sheet'!J$6,Source!$C$5:$F$5,0))</f>
        <v>CCD</v>
      </c>
      <c r="K44" s="22">
        <f>VLOOKUP($C$7:$C$44,Source!$C$5:$F$40,MATCH('Master Emp sheet'!K$6,Source!$C$5:$F$5,0))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B1" workbookViewId="0"/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Pooja Chajagoudar</cp:lastModifiedBy>
  <dcterms:created xsi:type="dcterms:W3CDTF">2022-07-27T06:45:44Z</dcterms:created>
  <dcterms:modified xsi:type="dcterms:W3CDTF">2024-12-10T09:44:06Z</dcterms:modified>
</cp:coreProperties>
</file>