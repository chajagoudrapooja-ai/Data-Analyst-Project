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0d81792002b79eb9/Desktop/DA Excel Assignment/"/>
    </mc:Choice>
  </mc:AlternateContent>
  <xr:revisionPtr revIDLastSave="122" documentId="11_4096602D76A38E811D01764303064E6B55EC448E" xr6:coauthVersionLast="47" xr6:coauthVersionMax="47" xr10:uidLastSave="{C1CD97A8-4FF9-46B1-9869-901E356B8FC4}"/>
  <bookViews>
    <workbookView xWindow="-108" yWindow="-108" windowWidth="23256" windowHeight="12456" xr2:uid="{00000000-000D-0000-FFFF-FFFF00000000}"/>
  </bookViews>
  <sheets>
    <sheet name="Logical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M10" i="1" l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K10" i="1" a="1"/>
  <c r="K10" i="1" s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  <c r="L5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N49" i="1"/>
  <c r="K49" i="1"/>
  <c r="J49" i="1"/>
  <c r="M49" i="1"/>
  <c r="L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<sst xmlns="http://schemas.openxmlformats.org/spreadsheetml/2006/main" count="243" uniqueCount="102">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</sst>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zoomScale="73" zoomScaleNormal="73" workbookViewId="0">
      <selection activeCell="L61" sqref="L61"/>
    </sheetView>
  </sheetViews>
  <sheetFormatPr defaultColWidth="14.44140625" defaultRowHeight="15" customHeight="1" x14ac:dyDescent="0.3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10" width="39.88671875" bestFit="1" customWidth="1"/>
    <col min="11" max="11" width="45.33203125" bestFit="1" customWidth="1"/>
    <col min="12" max="12" width="33.44140625" bestFit="1" customWidth="1"/>
    <col min="13" max="13" width="58.5546875" bestFit="1" customWidth="1"/>
    <col min="14" max="14" width="42.5546875" bestFit="1" customWidth="1"/>
    <col min="15" max="16" width="23.33203125" customWidth="1"/>
    <col min="17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/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>
        <f>IF(H10&lt;50000,"Eligible for gif","noteligible")</f>
        <v>noteligible</v>
      </c>
      <c r="K10" s="11" cm="1">
        <f t="array" ref="K10:K47">IF(G10:G47="CCD",IF(H10:H47&lt;300000,90000,0),0)</f>
        <v>0</v>
      </c>
      <c r="L10" s="11" t="str">
        <f>IF(D10&lt;DATE(1980,1,1),"RETIRED"," ")</f>
        <v>RETIRED</v>
      </c>
      <c r="M10" s="11">
        <f>IF(AND(H10&lt;45000,OR(G10="Sales",G10="Marketing")),"25000",0)</f>
        <v>0</v>
      </c>
      <c r="N10" s="11">
        <f>IF(NOT(OR(G15="Director",G24="CEO")),1500,0)</f>
        <v>0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f t="shared" ref="J11:J47" si="0">IF(H11&lt;50000,"Eligible for gif","noteligible")</f>
        <v>Eligible for gif</v>
      </c>
      <c r="K11" s="11">
        <v>0</v>
      </c>
      <c r="L11" s="11" t="str">
        <f t="shared" ref="L11:L47" si="1">IF(D11&lt;DATE(1980,1,1),"RETIRED"," ")</f>
        <v>RETIRED</v>
      </c>
      <c r="M11" s="11" t="str">
        <f t="shared" ref="M11:M47" si="2">IF(AND(H11&lt;45000,OR(G11="Sales",G11="Marketing")),"25000",0)</f>
        <v>25000</v>
      </c>
      <c r="N11" s="11">
        <f t="shared" ref="N11:N47" si="3">IF(NOT(OR(G16="Director",G25="CEO")),1500,0)</f>
        <v>1500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0"/>
        <v>Eligible for gif</v>
      </c>
      <c r="K12" s="11">
        <v>0</v>
      </c>
      <c r="L12" s="11" t="str">
        <f t="shared" si="1"/>
        <v>RETIRED</v>
      </c>
      <c r="M12" s="11">
        <f t="shared" si="2"/>
        <v>0</v>
      </c>
      <c r="N12" s="11">
        <f t="shared" si="3"/>
        <v>1500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f t="shared" si="0"/>
        <v>noteligible</v>
      </c>
      <c r="K13" s="11">
        <v>0</v>
      </c>
      <c r="L13" s="11" t="str">
        <f t="shared" si="1"/>
        <v>RETIRED</v>
      </c>
      <c r="M13" s="11">
        <f t="shared" si="2"/>
        <v>0</v>
      </c>
      <c r="N13" s="11">
        <f t="shared" si="3"/>
        <v>1500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f t="shared" si="0"/>
        <v>noteligible</v>
      </c>
      <c r="K14" s="11">
        <v>0</v>
      </c>
      <c r="L14" s="11" t="str">
        <f t="shared" si="1"/>
        <v>RETIRED</v>
      </c>
      <c r="M14" s="11">
        <f t="shared" si="2"/>
        <v>0</v>
      </c>
      <c r="N14" s="11">
        <f t="shared" si="3"/>
        <v>1500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f t="shared" si="0"/>
        <v>noteligible</v>
      </c>
      <c r="K15" s="11">
        <v>0</v>
      </c>
      <c r="L15" s="11" t="str">
        <f t="shared" si="1"/>
        <v>RETIRED</v>
      </c>
      <c r="M15" s="11">
        <f t="shared" si="2"/>
        <v>0</v>
      </c>
      <c r="N15" s="11">
        <f t="shared" si="3"/>
        <v>1500</v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f t="shared" si="0"/>
        <v>noteligible</v>
      </c>
      <c r="K16" s="11">
        <v>0</v>
      </c>
      <c r="L16" s="11" t="str">
        <f t="shared" si="1"/>
        <v>RETIRED</v>
      </c>
      <c r="M16" s="11">
        <f t="shared" si="2"/>
        <v>0</v>
      </c>
      <c r="N16" s="11">
        <f t="shared" si="3"/>
        <v>1500</v>
      </c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f t="shared" si="0"/>
        <v>Eligible for gif</v>
      </c>
      <c r="K17" s="11">
        <v>90000</v>
      </c>
      <c r="L17" s="11" t="str">
        <f t="shared" si="1"/>
        <v xml:space="preserve"> </v>
      </c>
      <c r="M17" s="11">
        <f t="shared" si="2"/>
        <v>0</v>
      </c>
      <c r="N17" s="11">
        <f t="shared" si="3"/>
        <v>1500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f t="shared" si="0"/>
        <v>noteligible</v>
      </c>
      <c r="K18" s="11">
        <v>0</v>
      </c>
      <c r="L18" s="11" t="str">
        <f t="shared" si="1"/>
        <v>RETIRED</v>
      </c>
      <c r="M18" s="11">
        <f t="shared" si="2"/>
        <v>0</v>
      </c>
      <c r="N18" s="11">
        <f t="shared" si="3"/>
        <v>1500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0"/>
        <v>Eligible for gif</v>
      </c>
      <c r="K19" s="11">
        <v>0</v>
      </c>
      <c r="L19" s="11" t="str">
        <f t="shared" si="1"/>
        <v xml:space="preserve"> </v>
      </c>
      <c r="M19" s="11">
        <f t="shared" si="2"/>
        <v>0</v>
      </c>
      <c r="N19" s="11">
        <f t="shared" si="3"/>
        <v>1500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0"/>
        <v>Eligible for gif</v>
      </c>
      <c r="K20" s="11">
        <v>0</v>
      </c>
      <c r="L20" s="11" t="str">
        <f t="shared" si="1"/>
        <v>RETIRED</v>
      </c>
      <c r="M20" s="11">
        <f t="shared" si="2"/>
        <v>0</v>
      </c>
      <c r="N20" s="11">
        <f t="shared" si="3"/>
        <v>1500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f t="shared" si="0"/>
        <v>Eligible for gif</v>
      </c>
      <c r="K21" s="11">
        <v>90000</v>
      </c>
      <c r="L21" s="11" t="str">
        <f t="shared" si="1"/>
        <v xml:space="preserve"> </v>
      </c>
      <c r="M21" s="11">
        <f t="shared" si="2"/>
        <v>0</v>
      </c>
      <c r="N21" s="11">
        <f t="shared" si="3"/>
        <v>1500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f t="shared" si="0"/>
        <v>noteligible</v>
      </c>
      <c r="K22" s="11">
        <v>0</v>
      </c>
      <c r="L22" s="11" t="str">
        <f t="shared" si="1"/>
        <v xml:space="preserve"> </v>
      </c>
      <c r="M22" s="11">
        <f t="shared" si="2"/>
        <v>0</v>
      </c>
      <c r="N22" s="11">
        <f t="shared" si="3"/>
        <v>1500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f t="shared" si="0"/>
        <v>Eligible for gif</v>
      </c>
      <c r="K23" s="11">
        <v>90000</v>
      </c>
      <c r="L23" s="11" t="str">
        <f t="shared" si="1"/>
        <v xml:space="preserve"> </v>
      </c>
      <c r="M23" s="11">
        <f t="shared" si="2"/>
        <v>0</v>
      </c>
      <c r="N23" s="11">
        <f t="shared" si="3"/>
        <v>1500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f t="shared" si="0"/>
        <v>noteligible</v>
      </c>
      <c r="K24" s="11">
        <v>0</v>
      </c>
      <c r="L24" s="11" t="str">
        <f t="shared" si="1"/>
        <v xml:space="preserve"> </v>
      </c>
      <c r="M24" s="11">
        <f t="shared" si="2"/>
        <v>0</v>
      </c>
      <c r="N24" s="11">
        <f t="shared" si="3"/>
        <v>1500</v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0"/>
        <v>Eligible for gif</v>
      </c>
      <c r="K25" s="11">
        <v>0</v>
      </c>
      <c r="L25" s="11" t="str">
        <f t="shared" si="1"/>
        <v>RETIRED</v>
      </c>
      <c r="M25" s="11">
        <f t="shared" si="2"/>
        <v>0</v>
      </c>
      <c r="N25" s="11">
        <f t="shared" si="3"/>
        <v>1500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0"/>
        <v>Eligible for gif</v>
      </c>
      <c r="K26" s="11">
        <v>0</v>
      </c>
      <c r="L26" s="11" t="str">
        <f t="shared" si="1"/>
        <v xml:space="preserve"> </v>
      </c>
      <c r="M26" s="11" t="str">
        <f t="shared" si="2"/>
        <v>25000</v>
      </c>
      <c r="N26" s="11">
        <f t="shared" si="3"/>
        <v>1500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f t="shared" si="0"/>
        <v>noteligible</v>
      </c>
      <c r="K27" s="11">
        <v>0</v>
      </c>
      <c r="L27" s="11" t="str">
        <f t="shared" si="1"/>
        <v xml:space="preserve"> </v>
      </c>
      <c r="M27" s="11">
        <f t="shared" si="2"/>
        <v>0</v>
      </c>
      <c r="N27" s="11">
        <f t="shared" si="3"/>
        <v>1500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f t="shared" si="0"/>
        <v>Eligible for gif</v>
      </c>
      <c r="K28" s="11">
        <v>0</v>
      </c>
      <c r="L28" s="11" t="str">
        <f t="shared" si="1"/>
        <v xml:space="preserve"> </v>
      </c>
      <c r="M28" s="11">
        <f t="shared" si="2"/>
        <v>0</v>
      </c>
      <c r="N28" s="11">
        <f t="shared" si="3"/>
        <v>1500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f t="shared" si="0"/>
        <v>noteligible</v>
      </c>
      <c r="K29" s="11">
        <v>0</v>
      </c>
      <c r="L29" s="11" t="str">
        <f t="shared" si="1"/>
        <v xml:space="preserve"> </v>
      </c>
      <c r="M29" s="11">
        <f t="shared" si="2"/>
        <v>0</v>
      </c>
      <c r="N29" s="11">
        <f t="shared" si="3"/>
        <v>1500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f t="shared" si="0"/>
        <v>noteligible</v>
      </c>
      <c r="K30" s="11">
        <v>90000</v>
      </c>
      <c r="L30" s="11" t="str">
        <f t="shared" si="1"/>
        <v xml:space="preserve"> </v>
      </c>
      <c r="M30" s="11">
        <f t="shared" si="2"/>
        <v>0</v>
      </c>
      <c r="N30" s="11">
        <f t="shared" si="3"/>
        <v>1500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f t="shared" si="0"/>
        <v>noteligible</v>
      </c>
      <c r="K31" s="11">
        <v>0</v>
      </c>
      <c r="L31" s="11" t="str">
        <f t="shared" si="1"/>
        <v xml:space="preserve"> </v>
      </c>
      <c r="M31" s="11">
        <f t="shared" si="2"/>
        <v>0</v>
      </c>
      <c r="N31" s="11">
        <f t="shared" si="3"/>
        <v>1500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f t="shared" si="0"/>
        <v>noteligible</v>
      </c>
      <c r="K32" s="11">
        <v>0</v>
      </c>
      <c r="L32" s="11" t="str">
        <f t="shared" si="1"/>
        <v xml:space="preserve"> </v>
      </c>
      <c r="M32" s="11">
        <f t="shared" si="2"/>
        <v>0</v>
      </c>
      <c r="N32" s="11">
        <f t="shared" si="3"/>
        <v>1500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f t="shared" si="0"/>
        <v>noteligible</v>
      </c>
      <c r="K33" s="11">
        <v>0</v>
      </c>
      <c r="L33" s="11" t="str">
        <f t="shared" si="1"/>
        <v xml:space="preserve"> </v>
      </c>
      <c r="M33" s="11">
        <f t="shared" si="2"/>
        <v>0</v>
      </c>
      <c r="N33" s="11">
        <f t="shared" si="3"/>
        <v>1500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f t="shared" si="0"/>
        <v>Eligible for gif</v>
      </c>
      <c r="K34" s="11">
        <v>0</v>
      </c>
      <c r="L34" s="11" t="str">
        <f t="shared" si="1"/>
        <v xml:space="preserve"> </v>
      </c>
      <c r="M34" s="11">
        <f t="shared" si="2"/>
        <v>0</v>
      </c>
      <c r="N34" s="11">
        <f t="shared" si="3"/>
        <v>1500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f t="shared" si="0"/>
        <v>noteligible</v>
      </c>
      <c r="K35" s="11">
        <v>0</v>
      </c>
      <c r="L35" s="11" t="str">
        <f t="shared" si="1"/>
        <v>RETIRED</v>
      </c>
      <c r="M35" s="11">
        <f t="shared" si="2"/>
        <v>0</v>
      </c>
      <c r="N35" s="11">
        <f t="shared" si="3"/>
        <v>1500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f t="shared" si="0"/>
        <v>noteligible</v>
      </c>
      <c r="K36" s="11">
        <v>0</v>
      </c>
      <c r="L36" s="11" t="str">
        <f t="shared" si="1"/>
        <v xml:space="preserve"> </v>
      </c>
      <c r="M36" s="11">
        <f t="shared" si="2"/>
        <v>0</v>
      </c>
      <c r="N36" s="11">
        <f t="shared" si="3"/>
        <v>0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f t="shared" si="0"/>
        <v>Eligible for gif</v>
      </c>
      <c r="K37" s="11">
        <v>0</v>
      </c>
      <c r="L37" s="11" t="str">
        <f t="shared" si="1"/>
        <v>RETIRED</v>
      </c>
      <c r="M37" s="11">
        <f t="shared" si="2"/>
        <v>0</v>
      </c>
      <c r="N37" s="11">
        <f t="shared" si="3"/>
        <v>1500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f t="shared" si="0"/>
        <v>noteligible</v>
      </c>
      <c r="K38" s="11">
        <v>0</v>
      </c>
      <c r="L38" s="11" t="str">
        <f t="shared" si="1"/>
        <v>RETIRED</v>
      </c>
      <c r="M38" s="11">
        <f t="shared" si="2"/>
        <v>0</v>
      </c>
      <c r="N38" s="11">
        <f t="shared" si="3"/>
        <v>1500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f t="shared" si="0"/>
        <v>noteligible</v>
      </c>
      <c r="K39" s="11">
        <v>90000</v>
      </c>
      <c r="L39" s="11" t="str">
        <f t="shared" si="1"/>
        <v xml:space="preserve"> </v>
      </c>
      <c r="M39" s="11">
        <f t="shared" si="2"/>
        <v>0</v>
      </c>
      <c r="N39" s="11">
        <f t="shared" si="3"/>
        <v>1500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f t="shared" si="0"/>
        <v>noteligible</v>
      </c>
      <c r="K40" s="11">
        <v>0</v>
      </c>
      <c r="L40" s="11" t="str">
        <f t="shared" si="1"/>
        <v xml:space="preserve"> </v>
      </c>
      <c r="M40" s="11">
        <f t="shared" si="2"/>
        <v>0</v>
      </c>
      <c r="N40" s="11">
        <f t="shared" si="3"/>
        <v>1500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f t="shared" si="0"/>
        <v>noteligible</v>
      </c>
      <c r="K41" s="11">
        <v>0</v>
      </c>
      <c r="L41" s="11" t="str">
        <f t="shared" si="1"/>
        <v xml:space="preserve"> </v>
      </c>
      <c r="M41" s="11">
        <f t="shared" si="2"/>
        <v>0</v>
      </c>
      <c r="N41" s="11">
        <f t="shared" si="3"/>
        <v>1500</v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f t="shared" si="0"/>
        <v>noteligible</v>
      </c>
      <c r="K42" s="11">
        <v>0</v>
      </c>
      <c r="L42" s="11" t="str">
        <f t="shared" si="1"/>
        <v xml:space="preserve"> </v>
      </c>
      <c r="M42" s="11">
        <f t="shared" si="2"/>
        <v>0</v>
      </c>
      <c r="N42" s="11">
        <f t="shared" si="3"/>
        <v>1500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f t="shared" si="0"/>
        <v>noteligible</v>
      </c>
      <c r="K43" s="11">
        <v>0</v>
      </c>
      <c r="L43" s="11" t="str">
        <f t="shared" si="1"/>
        <v xml:space="preserve"> </v>
      </c>
      <c r="M43" s="11">
        <f t="shared" si="2"/>
        <v>0</v>
      </c>
      <c r="N43" s="11">
        <f t="shared" si="3"/>
        <v>1500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f t="shared" si="0"/>
        <v>Eligible for gif</v>
      </c>
      <c r="K44" s="11">
        <v>0</v>
      </c>
      <c r="L44" s="11" t="str">
        <f t="shared" si="1"/>
        <v xml:space="preserve"> </v>
      </c>
      <c r="M44" s="11">
        <f t="shared" si="2"/>
        <v>0</v>
      </c>
      <c r="N44" s="11">
        <f t="shared" si="3"/>
        <v>1500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f t="shared" si="0"/>
        <v>Eligible for gif</v>
      </c>
      <c r="K45" s="11">
        <v>0</v>
      </c>
      <c r="L45" s="11" t="str">
        <f t="shared" si="1"/>
        <v xml:space="preserve"> </v>
      </c>
      <c r="M45" s="11">
        <f t="shared" si="2"/>
        <v>0</v>
      </c>
      <c r="N45" s="11">
        <f t="shared" si="3"/>
        <v>1500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f t="shared" si="0"/>
        <v>noteligible</v>
      </c>
      <c r="K46" s="11">
        <v>0</v>
      </c>
      <c r="L46" s="11" t="str">
        <f t="shared" si="1"/>
        <v xml:space="preserve"> </v>
      </c>
      <c r="M46" s="11">
        <f t="shared" si="2"/>
        <v>0</v>
      </c>
      <c r="N46" s="11">
        <f t="shared" si="3"/>
        <v>1500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f t="shared" si="0"/>
        <v>Eligible for gif</v>
      </c>
      <c r="K47" s="11">
        <v>0</v>
      </c>
      <c r="L47" s="11" t="str">
        <f t="shared" si="1"/>
        <v xml:space="preserve"> </v>
      </c>
      <c r="M47" s="11">
        <f t="shared" si="2"/>
        <v>0</v>
      </c>
      <c r="N47" s="11">
        <f t="shared" si="3"/>
        <v>1500</v>
      </c>
    </row>
    <row r="48" spans="1:14" ht="14.25" customHeight="1" x14ac:dyDescent="0.3">
      <c r="G48" s="12"/>
    </row>
    <row r="49" spans="10:14" ht="14.25" customHeight="1" x14ac:dyDescent="0.3">
      <c r="J49" s="13" t="str">
        <f ca="1">_xlfn.FORMULATEXT(J10)</f>
        <v>=IF(H10&lt;50000,"Eligible for gif","noteligible")</v>
      </c>
      <c r="K49" s="13" t="str">
        <f ca="1">_xlfn.FORMULATEXT(K10)</f>
        <v>=IF(G10:G47="CCD",IF(H10:H47&lt;300000,90000,0),0)</v>
      </c>
      <c r="L49" s="13" t="str">
        <f ca="1">_xlfn.FORMULATEXT(L10)</f>
        <v>=IF(D10&lt;DATE(1980,1,1),"RETIRED"," ")</v>
      </c>
      <c r="M49" s="13" t="str">
        <f ca="1">_xlfn.FORMULATEXT(M10)</f>
        <v>=IF(AND(H10&lt;45000,OR(G10="Sales",G10="Marketing")),"25000",0)</v>
      </c>
      <c r="N49" s="13" t="str">
        <f ca="1">_xlfn.FORMULATEXT(N10)</f>
        <v>=IF(NOT(OR(G15="Director",G24="CEO")),1500,0)</v>
      </c>
    </row>
    <row r="50" spans="10:14" ht="14.25" customHeight="1" x14ac:dyDescent="0.3">
      <c r="L50" t="str">
        <f>IF(YEAR(D10&lt;1970),"RETIRED"," ")</f>
        <v>RETIRED</v>
      </c>
    </row>
    <row r="51" spans="10:14" ht="14.25" customHeight="1" x14ac:dyDescent="0.3"/>
    <row r="52" spans="10:14" ht="14.25" customHeight="1" x14ac:dyDescent="0.3"/>
    <row r="53" spans="10:14" ht="14.25" customHeight="1" x14ac:dyDescent="0.3"/>
    <row r="54" spans="10:14" ht="14.25" customHeight="1" x14ac:dyDescent="0.3"/>
    <row r="55" spans="10:14" ht="14.25" customHeight="1" x14ac:dyDescent="0.3"/>
    <row r="56" spans="10:14" ht="14.25" customHeight="1" x14ac:dyDescent="0.3"/>
    <row r="57" spans="10:14" ht="14.25" customHeight="1" x14ac:dyDescent="0.3"/>
    <row r="58" spans="10:14" ht="14.25" customHeight="1" x14ac:dyDescent="0.3"/>
    <row r="59" spans="10:14" ht="14.25" customHeight="1" x14ac:dyDescent="0.3"/>
    <row r="60" spans="10:14" ht="14.25" customHeight="1" x14ac:dyDescent="0.3"/>
    <row r="61" spans="10:14" ht="14.25" customHeight="1" x14ac:dyDescent="0.3"/>
    <row r="62" spans="10:14" ht="14.25" customHeight="1" x14ac:dyDescent="0.3"/>
    <row r="63" spans="10:14" ht="14.25" customHeight="1" x14ac:dyDescent="0.3"/>
    <row r="64" spans="10:1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Pooja Chajagoudar</cp:lastModifiedBy>
  <dcterms:created xsi:type="dcterms:W3CDTF">2020-05-11T11:02:27Z</dcterms:created>
  <dcterms:modified xsi:type="dcterms:W3CDTF">2024-11-28T23:57:42Z</dcterms:modified>
</cp:coreProperties>
</file>