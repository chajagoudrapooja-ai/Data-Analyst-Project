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d81792002b79eb9/Desktop/DA Excel Assignment/"/>
    </mc:Choice>
  </mc:AlternateContent>
  <xr:revisionPtr revIDLastSave="90" documentId="11_A20E2112B2738C9AA9E0F8009BF2F2740F4969FC" xr6:coauthVersionLast="47" xr6:coauthVersionMax="47" xr10:uidLastSave="{5C0DDFA1-7D22-4981-8CC4-1229F3453CD2}"/>
  <bookViews>
    <workbookView xWindow="-108" yWindow="-108" windowWidth="23256" windowHeight="1245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D7" i="1"/>
  <c r="E7" i="1" a="1"/>
  <c r="E7" i="1" s="1"/>
  <c r="F7" i="1" a="1"/>
  <c r="F7" i="1" s="1"/>
  <c r="G7" i="1" a="1"/>
  <c r="G7" i="1"/>
  <c r="H7" i="1" a="1"/>
  <c r="H7" i="1" s="1"/>
  <c r="D8" i="1"/>
  <c r="D9" i="1"/>
  <c r="D10" i="1"/>
  <c r="D11" i="1"/>
  <c r="D12" i="1"/>
  <c r="D13" i="1"/>
  <c r="D14" i="1"/>
  <c r="D15" i="1"/>
  <c r="D16" i="1"/>
  <c r="D17" i="1"/>
  <c r="D18" i="1"/>
  <c r="C4" i="1"/>
  <c r="C3" i="1"/>
  <c r="G19" i="1"/>
  <c r="E19" i="1"/>
  <c r="H19" i="1"/>
  <c r="F19" i="1"/>
  <c r="I19" i="1"/>
  <c r="D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<sst xmlns="http://schemas.openxmlformats.org/spreadsheetml/2006/main" count="24" uniqueCount="24">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</sst>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164" fontId="0" fillId="0" borderId="0" xfId="0" applyNumberFormat="1"/>
    <xf numFmtId="164" fontId="2" fillId="3" borderId="1" xfId="0" applyNumberFormat="1" applyFont="1" applyFill="1" applyBorder="1"/>
    <xf numFmtId="20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tabSelected="1" workbookViewId="0">
      <selection activeCell="H3" sqref="H3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5.44140625" bestFit="1" customWidth="1"/>
    <col min="4" max="4" width="14.5546875" bestFit="1" customWidth="1"/>
    <col min="5" max="5" width="16.88671875" bestFit="1" customWidth="1"/>
    <col min="6" max="6" width="21.88671875" bestFit="1" customWidth="1"/>
    <col min="7" max="7" width="15.44140625" bestFit="1" customWidth="1"/>
    <col min="8" max="8" width="26.5546875" bestFit="1" customWidth="1"/>
    <col min="9" max="9" width="29.33203125" customWidth="1"/>
    <col min="10" max="26" width="8.6640625" customWidth="1"/>
  </cols>
  <sheetData>
    <row r="1" spans="2:12" ht="14.25" customHeight="1" x14ac:dyDescent="0.3"/>
    <row r="2" spans="2:12" ht="14.25" customHeight="1" x14ac:dyDescent="0.3"/>
    <row r="3" spans="2:12" ht="14.25" customHeight="1" x14ac:dyDescent="0.3">
      <c r="B3" s="1" t="s">
        <v>0</v>
      </c>
      <c r="C3" s="5">
        <f ca="1">TODAY()</f>
        <v>45617</v>
      </c>
      <c r="F3" s="1" t="s">
        <v>1</v>
      </c>
      <c r="G3" s="5">
        <v>45617</v>
      </c>
    </row>
    <row r="4" spans="2:12" ht="14.25" customHeight="1" x14ac:dyDescent="0.3">
      <c r="B4" s="1" t="s">
        <v>2</v>
      </c>
      <c r="C4" s="7">
        <f ca="1">NOW()-TODAY()</f>
        <v>0.38499479166785022</v>
      </c>
      <c r="F4" s="1" t="s">
        <v>3</v>
      </c>
      <c r="G4" s="8">
        <v>0.38472222222222224</v>
      </c>
    </row>
    <row r="5" spans="2:12" ht="14.25" customHeight="1" x14ac:dyDescent="0.3">
      <c r="C5" s="6"/>
    </row>
    <row r="6" spans="2:12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12" ht="14.25" customHeight="1" x14ac:dyDescent="0.3">
      <c r="B7" s="3" t="s">
        <v>12</v>
      </c>
      <c r="C7" s="4">
        <v>36478</v>
      </c>
      <c r="D7" s="2">
        <f>DAY(C7)</f>
        <v>14</v>
      </c>
      <c r="E7" s="2" cm="1">
        <f t="array" ref="E7:E18">MONTH(C7:C18)</f>
        <v>11</v>
      </c>
      <c r="F7" s="2" t="str" cm="1">
        <f t="array" ref="F7:F18">TEXT(C7:C18,"MMMM")</f>
        <v>November</v>
      </c>
      <c r="G7" s="2" cm="1">
        <f t="array" ref="G7:G18">YEAR(C7:C18)</f>
        <v>1999</v>
      </c>
      <c r="H7" s="2" cm="1">
        <f t="array" aca="1" ref="H7:H18" ca="1">DATEDIF(C7:C18,TODAY(),"Y")</f>
        <v>25</v>
      </c>
      <c r="I7" s="2" t="str">
        <f ca="1">DATEDIF(C7,TODAY(),"y")&amp;"years,"&amp;DATEDIF(C7,TODAY(),"m")&amp;"month,"&amp;DATEDIF(C7,TODAY(),"d")&amp;"days"</f>
        <v>25years,300month,9139days</v>
      </c>
      <c r="J7" s="2"/>
      <c r="K7" s="2"/>
      <c r="L7" s="2"/>
    </row>
    <row r="8" spans="2:12" ht="14.25" customHeight="1" x14ac:dyDescent="0.3">
      <c r="B8" s="3" t="s">
        <v>13</v>
      </c>
      <c r="C8" s="4">
        <v>37027</v>
      </c>
      <c r="D8" s="2">
        <f t="shared" ref="D8:D18" si="0">DAY(C8)</f>
        <v>16</v>
      </c>
      <c r="E8" s="2">
        <v>5</v>
      </c>
      <c r="F8" s="2" t="str">
        <v>May</v>
      </c>
      <c r="G8" s="2">
        <v>2001</v>
      </c>
      <c r="H8" s="2">
        <f ca="1"/>
        <v>23</v>
      </c>
      <c r="I8" s="2" t="str">
        <f t="shared" ref="I8:I18" ca="1" si="1">DATEDIF(C8,TODAY(),"y")&amp;"years,"&amp;DATEDIF(C8,TODAY(),"m")&amp;"month,"&amp;DATEDIF(C8,TODAY(),"d")&amp;"days"</f>
        <v>23years,282month,8590days</v>
      </c>
      <c r="J8" s="2"/>
      <c r="K8" s="2"/>
      <c r="L8" s="2"/>
    </row>
    <row r="9" spans="2:12" ht="14.25" customHeight="1" x14ac:dyDescent="0.3">
      <c r="B9" s="3" t="s">
        <v>14</v>
      </c>
      <c r="C9" s="4">
        <v>37946</v>
      </c>
      <c r="D9" s="2">
        <f t="shared" si="0"/>
        <v>21</v>
      </c>
      <c r="E9" s="2">
        <v>11</v>
      </c>
      <c r="F9" s="2" t="str">
        <v>November</v>
      </c>
      <c r="G9" s="2">
        <v>2003</v>
      </c>
      <c r="H9" s="2">
        <f ca="1"/>
        <v>21</v>
      </c>
      <c r="I9" s="2" t="str">
        <f t="shared" ca="1" si="1"/>
        <v>21years,252month,7671days</v>
      </c>
      <c r="J9" s="2"/>
      <c r="K9" s="2"/>
      <c r="L9" s="2"/>
    </row>
    <row r="10" spans="2:12" ht="14.25" customHeight="1" x14ac:dyDescent="0.3">
      <c r="B10" s="3" t="s">
        <v>15</v>
      </c>
      <c r="C10" s="4">
        <v>38113</v>
      </c>
      <c r="D10" s="2">
        <f t="shared" si="0"/>
        <v>6</v>
      </c>
      <c r="E10" s="2">
        <v>5</v>
      </c>
      <c r="F10" s="2" t="str">
        <v>May</v>
      </c>
      <c r="G10" s="2">
        <v>2004</v>
      </c>
      <c r="H10" s="2">
        <f ca="1"/>
        <v>20</v>
      </c>
      <c r="I10" s="2" t="str">
        <f t="shared" ca="1" si="1"/>
        <v>20years,246month,7504days</v>
      </c>
      <c r="J10" s="2"/>
      <c r="K10" s="2"/>
      <c r="L10" s="2"/>
    </row>
    <row r="11" spans="2:12" ht="14.25" customHeight="1" x14ac:dyDescent="0.3">
      <c r="B11" s="3" t="s">
        <v>16</v>
      </c>
      <c r="C11" s="4">
        <v>38449</v>
      </c>
      <c r="D11" s="2">
        <f t="shared" si="0"/>
        <v>7</v>
      </c>
      <c r="E11" s="2">
        <v>4</v>
      </c>
      <c r="F11" s="2" t="str">
        <v>April</v>
      </c>
      <c r="G11" s="2">
        <v>2005</v>
      </c>
      <c r="H11" s="2">
        <f ca="1"/>
        <v>19</v>
      </c>
      <c r="I11" s="2" t="str">
        <f t="shared" ca="1" si="1"/>
        <v>19years,235month,7168days</v>
      </c>
      <c r="J11" s="2"/>
      <c r="K11" s="2"/>
      <c r="L11" s="2"/>
    </row>
    <row r="12" spans="2:12" ht="14.25" customHeight="1" x14ac:dyDescent="0.3">
      <c r="B12" s="3" t="s">
        <v>17</v>
      </c>
      <c r="C12" s="4">
        <v>39846</v>
      </c>
      <c r="D12" s="2">
        <f t="shared" si="0"/>
        <v>2</v>
      </c>
      <c r="E12" s="2">
        <v>2</v>
      </c>
      <c r="F12" s="2" t="str">
        <v>February</v>
      </c>
      <c r="G12" s="2">
        <v>2009</v>
      </c>
      <c r="H12" s="2">
        <f ca="1"/>
        <v>15</v>
      </c>
      <c r="I12" s="2" t="str">
        <f t="shared" ca="1" si="1"/>
        <v>15years,189month,5771days</v>
      </c>
      <c r="J12" s="2"/>
      <c r="K12" s="2"/>
      <c r="L12" s="2"/>
    </row>
    <row r="13" spans="2:12" ht="14.25" customHeight="1" x14ac:dyDescent="0.3">
      <c r="B13" s="3" t="s">
        <v>18</v>
      </c>
      <c r="C13" s="4">
        <v>40330</v>
      </c>
      <c r="D13" s="2">
        <f t="shared" si="0"/>
        <v>1</v>
      </c>
      <c r="E13" s="2">
        <v>6</v>
      </c>
      <c r="F13" s="2" t="str">
        <v>June</v>
      </c>
      <c r="G13" s="2">
        <v>2010</v>
      </c>
      <c r="H13" s="2">
        <f ca="1"/>
        <v>14</v>
      </c>
      <c r="I13" s="2" t="str">
        <f t="shared" ca="1" si="1"/>
        <v>14years,173month,5287days</v>
      </c>
      <c r="J13" s="2"/>
      <c r="K13" s="2"/>
      <c r="L13" s="2"/>
    </row>
    <row r="14" spans="2:12" ht="14.25" customHeight="1" x14ac:dyDescent="0.3">
      <c r="B14" s="3" t="s">
        <v>19</v>
      </c>
      <c r="C14" s="4">
        <v>40495</v>
      </c>
      <c r="D14" s="2">
        <f t="shared" si="0"/>
        <v>13</v>
      </c>
      <c r="E14" s="2">
        <v>11</v>
      </c>
      <c r="F14" s="2" t="str">
        <v>November</v>
      </c>
      <c r="G14" s="2">
        <v>2010</v>
      </c>
      <c r="H14" s="2">
        <f ca="1"/>
        <v>14</v>
      </c>
      <c r="I14" s="2" t="str">
        <f t="shared" ca="1" si="1"/>
        <v>14years,168month,5122days</v>
      </c>
      <c r="J14" s="2"/>
      <c r="K14" s="2"/>
      <c r="L14" s="2"/>
    </row>
    <row r="15" spans="2:12" ht="14.25" customHeight="1" x14ac:dyDescent="0.3">
      <c r="B15" s="3" t="s">
        <v>20</v>
      </c>
      <c r="C15" s="4">
        <v>40574</v>
      </c>
      <c r="D15" s="2">
        <f t="shared" si="0"/>
        <v>31</v>
      </c>
      <c r="E15" s="2">
        <v>1</v>
      </c>
      <c r="F15" s="2" t="str">
        <v>January</v>
      </c>
      <c r="G15" s="2">
        <v>2011</v>
      </c>
      <c r="H15" s="2">
        <f ca="1"/>
        <v>13</v>
      </c>
      <c r="I15" s="2" t="str">
        <f t="shared" ca="1" si="1"/>
        <v>13years,165month,5043days</v>
      </c>
      <c r="J15" s="2"/>
      <c r="K15" s="2"/>
      <c r="L15" s="2"/>
    </row>
    <row r="16" spans="2:12" ht="14.25" customHeight="1" x14ac:dyDescent="0.3">
      <c r="B16" s="3" t="s">
        <v>21</v>
      </c>
      <c r="C16" s="4">
        <v>41400</v>
      </c>
      <c r="D16" s="2">
        <f t="shared" si="0"/>
        <v>6</v>
      </c>
      <c r="E16" s="2">
        <v>5</v>
      </c>
      <c r="F16" s="2" t="str">
        <v>May</v>
      </c>
      <c r="G16" s="2">
        <v>2013</v>
      </c>
      <c r="H16" s="2">
        <f ca="1"/>
        <v>11</v>
      </c>
      <c r="I16" s="2" t="str">
        <f t="shared" ca="1" si="1"/>
        <v>11years,138month,4217days</v>
      </c>
      <c r="J16" s="2"/>
      <c r="K16" s="2"/>
      <c r="L16" s="2"/>
    </row>
    <row r="17" spans="2:12" ht="14.25" customHeight="1" x14ac:dyDescent="0.3">
      <c r="B17" s="3" t="s">
        <v>22</v>
      </c>
      <c r="C17" s="4">
        <v>42027</v>
      </c>
      <c r="D17" s="2">
        <f t="shared" si="0"/>
        <v>23</v>
      </c>
      <c r="E17" s="2">
        <v>1</v>
      </c>
      <c r="F17" s="2" t="str">
        <v>January</v>
      </c>
      <c r="G17" s="2">
        <v>2015</v>
      </c>
      <c r="H17" s="2">
        <f ca="1"/>
        <v>9</v>
      </c>
      <c r="I17" s="2" t="str">
        <f t="shared" ca="1" si="1"/>
        <v>9years,117month,3590days</v>
      </c>
      <c r="J17" s="2"/>
      <c r="K17" s="2"/>
      <c r="L17" s="2"/>
    </row>
    <row r="18" spans="2:12" ht="14.25" customHeight="1" x14ac:dyDescent="0.3">
      <c r="B18" s="3" t="s">
        <v>23</v>
      </c>
      <c r="C18" s="4">
        <v>42124</v>
      </c>
      <c r="D18" s="2">
        <f t="shared" si="0"/>
        <v>30</v>
      </c>
      <c r="E18" s="2">
        <v>4</v>
      </c>
      <c r="F18" s="2" t="str">
        <v>April</v>
      </c>
      <c r="G18" s="2">
        <v>2015</v>
      </c>
      <c r="H18" s="2">
        <f ca="1"/>
        <v>9</v>
      </c>
      <c r="I18" s="2" t="str">
        <f t="shared" ca="1" si="1"/>
        <v>9years,114month,3493days</v>
      </c>
      <c r="J18" s="2"/>
      <c r="K18" s="2"/>
      <c r="L18" s="2"/>
    </row>
    <row r="19" spans="2:12" ht="14.25" customHeight="1" x14ac:dyDescent="0.3">
      <c r="D19" s="2" t="str">
        <f t="shared" ref="D19:I19" ca="1" si="2">_xlfn.FORMULATEXT(D7)</f>
        <v>=DAY(C7)</v>
      </c>
      <c r="E19" s="2" t="str">
        <f t="shared" ca="1" si="2"/>
        <v>=MONTH(C7:C18)</v>
      </c>
      <c r="F19" s="2" t="str">
        <f t="shared" ca="1" si="2"/>
        <v>=TEXT(C7:C18,"MMMM")</v>
      </c>
      <c r="G19" s="2" t="str">
        <f t="shared" ca="1" si="2"/>
        <v>=YEAR(C7:C18)</v>
      </c>
      <c r="H19" s="2" t="str">
        <f t="shared" ca="1" si="2"/>
        <v>=DATEDIF(C7:C18,TODAY(),"Y")</v>
      </c>
      <c r="I19" s="2" t="str">
        <f t="shared" ca="1" si="2"/>
        <v>=DATEDIF(C7,TODAY(),"y")&amp;"years,"&amp;DATEDIF(C7,TODAY(),"m")&amp;"month,"&amp;DATEDIF(C7,TODAY(),"d")&amp;"days"</v>
      </c>
      <c r="J19" s="2"/>
      <c r="K19" s="2"/>
      <c r="L19" s="2"/>
    </row>
    <row r="20" spans="2:12" ht="14.25" customHeight="1" x14ac:dyDescent="0.3"/>
    <row r="21" spans="2:12" ht="14.25" customHeight="1" x14ac:dyDescent="0.3"/>
    <row r="22" spans="2:12" ht="14.25" customHeight="1" x14ac:dyDescent="0.3"/>
    <row r="23" spans="2:12" ht="14.25" customHeight="1" x14ac:dyDescent="0.3"/>
    <row r="24" spans="2:12" ht="14.25" customHeight="1" x14ac:dyDescent="0.3"/>
    <row r="25" spans="2:12" ht="14.25" customHeight="1" x14ac:dyDescent="0.3"/>
    <row r="26" spans="2:12" ht="14.25" customHeight="1" x14ac:dyDescent="0.3"/>
    <row r="27" spans="2:12" ht="14.25" customHeight="1" x14ac:dyDescent="0.3"/>
    <row r="28" spans="2:12" ht="14.25" customHeight="1" x14ac:dyDescent="0.3"/>
    <row r="29" spans="2:12" ht="14.25" customHeight="1" x14ac:dyDescent="0.3"/>
    <row r="30" spans="2:12" ht="14.25" customHeight="1" x14ac:dyDescent="0.3"/>
    <row r="31" spans="2:12" ht="14.25" customHeight="1" x14ac:dyDescent="0.3"/>
    <row r="32" spans="2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Pooja Chajagoudar</cp:lastModifiedBy>
  <dcterms:created xsi:type="dcterms:W3CDTF">2022-07-28T07:24:11Z</dcterms:created>
  <dcterms:modified xsi:type="dcterms:W3CDTF">2024-11-22T05:48:51Z</dcterms:modified>
</cp:coreProperties>
</file>